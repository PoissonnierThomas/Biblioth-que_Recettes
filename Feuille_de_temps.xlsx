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mpo\Cours\2024-2025\S2\S2.01\groupe19\"/>
    </mc:Choice>
  </mc:AlternateContent>
  <xr:revisionPtr revIDLastSave="0" documentId="13_ncr:1_{FCFD1D81-990D-419E-9B62-508DDB244919}" xr6:coauthVersionLast="47" xr6:coauthVersionMax="47" xr10:uidLastSave="{00000000-0000-0000-0000-000000000000}"/>
  <bookViews>
    <workbookView xWindow="28680" yWindow="-120" windowWidth="29040" windowHeight="15720" tabRatio="500" activeTab="1" xr2:uid="{00000000-000D-0000-FFFF-FFFF00000000}"/>
  </bookViews>
  <sheets>
    <sheet name="Feuille de temps" sheetId="1" r:id="rId1"/>
    <sheet name="Heures cumulé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O3" i="1" l="1"/>
  <c r="N4" i="1"/>
  <c r="E3" i="2"/>
  <c r="E4" i="2" s="1"/>
  <c r="E5" i="2" s="1"/>
  <c r="E6" i="2" s="1"/>
  <c r="E7" i="2" s="1"/>
  <c r="E8" i="2" s="1"/>
  <c r="E9" i="2" s="1"/>
  <c r="E10" i="2" s="1"/>
  <c r="E11" i="2" s="1"/>
  <c r="E12" i="2" s="1"/>
  <c r="E13" i="2" s="1"/>
  <c r="E14" i="2" s="1"/>
  <c r="E15" i="2" s="1"/>
  <c r="E16" i="2" s="1"/>
  <c r="E17" i="2" s="1"/>
  <c r="D3" i="2"/>
  <c r="D4" i="2" s="1"/>
  <c r="F2" i="2"/>
  <c r="M4" i="1"/>
  <c r="L4" i="1"/>
  <c r="K4" i="1"/>
  <c r="J4" i="1"/>
  <c r="I4" i="1"/>
  <c r="H4" i="1"/>
  <c r="G4" i="1"/>
  <c r="F4" i="1"/>
  <c r="E4" i="1"/>
  <c r="D4" i="1"/>
  <c r="C4" i="1"/>
  <c r="B4" i="1"/>
  <c r="O2" i="1"/>
  <c r="O4" i="1" l="1"/>
  <c r="D5" i="2"/>
  <c r="F4" i="2"/>
  <c r="F3" i="2"/>
  <c r="D6" i="2" l="1"/>
  <c r="F5" i="2"/>
  <c r="D7" i="2" l="1"/>
  <c r="F6" i="2"/>
  <c r="D8" i="2" l="1"/>
  <c r="F7" i="2"/>
  <c r="D9" i="2" l="1"/>
  <c r="F8" i="2"/>
  <c r="D10" i="2" l="1"/>
  <c r="F9" i="2"/>
  <c r="D11" i="2" l="1"/>
  <c r="F10" i="2"/>
  <c r="F11" i="2" l="1"/>
  <c r="D12" i="2"/>
  <c r="F12" i="2" l="1"/>
  <c r="D13" i="2"/>
  <c r="D14" i="2" l="1"/>
  <c r="F13" i="2"/>
  <c r="D15" i="2" l="1"/>
  <c r="F14" i="2"/>
  <c r="D16" i="2" l="1"/>
  <c r="F15" i="2"/>
  <c r="D17" i="2" l="1"/>
  <c r="F17" i="2" s="1"/>
  <c r="F16" i="2"/>
</calcChain>
</file>

<file path=xl/sharedStrings.xml><?xml version="1.0" encoding="utf-8"?>
<sst xmlns="http://schemas.openxmlformats.org/spreadsheetml/2006/main" count="12" uniqueCount="9">
  <si>
    <t>Total</t>
  </si>
  <si>
    <t>Chadi</t>
  </si>
  <si>
    <t>Thomas</t>
  </si>
  <si>
    <t>Cours</t>
  </si>
  <si>
    <t>Session individuelle</t>
  </si>
  <si>
    <t>Date</t>
  </si>
  <si>
    <t>Chadi cumulé</t>
  </si>
  <si>
    <t>Thomas cumulé</t>
  </si>
  <si>
    <t>Total cumulé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</si>
</sst>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92D050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164" fontId="0" fillId="0" borderId="1" xfId="0" applyNumberFormat="1" applyBorder="1"/>
    <xf numFmtId="0" fontId="0" fillId="2" borderId="0" xfId="0" applyFill="1"/>
    <xf numFmtId="0" fontId="0" fillId="3" borderId="0" xfId="0" applyFill="1" applyAlignment="1">
      <alignment wrapText="1"/>
    </xf>
    <xf numFmtId="14" fontId="0" fillId="0" borderId="0" xfId="0" applyNumberFormat="1"/>
    <xf numFmtId="14" fontId="0" fillId="2" borderId="1" xfId="0" applyNumberFormat="1" applyFill="1" applyBorder="1" applyAlignment="1">
      <alignment horizontal="center" vertical="center" shrinkToFit="1"/>
    </xf>
    <xf numFmtId="14" fontId="0" fillId="3" borderId="1" xfId="0" applyNumberForma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ED7D31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r-FR" sz="1400" b="0" strike="noStrike" spc="-1">
                <a:solidFill>
                  <a:srgbClr val="595959"/>
                </a:solidFill>
                <a:latin typeface="Calibri"/>
              </a:rPr>
              <a:t>Réparition horaire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5B9BD5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5B9BD5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1-CA7F-4612-9881-F92DD63E748B}"/>
              </c:ext>
            </c:extLst>
          </c:dPt>
          <c:dPt>
            <c:idx val="1"/>
            <c:bubble3D val="0"/>
            <c:spPr>
              <a:solidFill>
                <a:srgbClr val="ED7D31"/>
              </a:solidFill>
              <a:ln w="19080">
                <a:solidFill>
                  <a:srgbClr val="FFFFFF"/>
                </a:solidFill>
                <a:round/>
              </a:ln>
            </c:spPr>
            <c:extLst>
              <c:ext xmlns:c16="http://schemas.microsoft.com/office/drawing/2014/chart" uri="{C3380CC4-5D6E-409C-BE32-E72D297353CC}">
                <c16:uniqueId val="{00000003-CA7F-4612-9881-F92DD63E748B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A7F-4612-9881-F92DD63E748B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0" strike="noStrike" spc="-1">
                      <a:solidFill>
                        <a:srgbClr val="404040"/>
                      </a:solidFill>
                      <a:latin typeface="Calibri"/>
                    </a:defRPr>
                  </a:pPr>
                  <a:endParaRPr lang="fr-FR"/>
                </a:p>
              </c:txPr>
              <c:dLblPos val="bestFit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A7F-4612-9881-F92DD63E74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strike="noStrike" spc="-1">
                    <a:solidFill>
                      <a:srgbClr val="404040"/>
                    </a:solidFill>
                    <a:latin typeface="Calibri"/>
                  </a:defRPr>
                </a:pPr>
                <a:endParaRPr lang="fr-FR"/>
              </a:p>
            </c:txPr>
            <c:dLblPos val="bestFit"/>
            <c:showLegendKey val="0"/>
            <c:showVal val="1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'Feuille de temps'!$A$2:$A$3</c:f>
              <c:strCache>
                <c:ptCount val="2"/>
                <c:pt idx="0">
                  <c:v>Chadi</c:v>
                </c:pt>
                <c:pt idx="1">
                  <c:v>Thomas</c:v>
                </c:pt>
              </c:strCache>
            </c:strRef>
          </c:cat>
          <c:val>
            <c:numRef>
              <c:f>'Feuille de temps'!$O$2:$O$3</c:f>
              <c:numCache>
                <c:formatCode>0.0</c:formatCode>
                <c:ptCount val="2"/>
                <c:pt idx="0">
                  <c:v>15</c:v>
                </c:pt>
                <c:pt idx="1">
                  <c:v>28.5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7F-4612-9881-F92DD63E7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r-FR" sz="1400" b="0" strike="noStrike" spc="-1">
                <a:solidFill>
                  <a:srgbClr val="595959"/>
                </a:solidFill>
                <a:latin typeface="Calibri"/>
              </a:rPr>
              <a:t>Répartition du travail par session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'Feuille de temps'!$A$2</c:f>
              <c:strCache>
                <c:ptCount val="1"/>
                <c:pt idx="0">
                  <c:v>Chadi</c:v>
                </c:pt>
              </c:strCache>
            </c:strRef>
          </c:tx>
          <c:spPr>
            <a:solidFill>
              <a:srgbClr val="5B9BD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'Feuille de temps'!$B$1:$N$1</c:f>
              <c:numCache>
                <c:formatCode>m/d/yyyy</c:formatCode>
                <c:ptCount val="13"/>
                <c:pt idx="0">
                  <c:v>45782</c:v>
                </c:pt>
                <c:pt idx="1">
                  <c:v>45783</c:v>
                </c:pt>
                <c:pt idx="2">
                  <c:v>45789</c:v>
                </c:pt>
                <c:pt idx="3">
                  <c:v>45790</c:v>
                </c:pt>
                <c:pt idx="4">
                  <c:v>45799</c:v>
                </c:pt>
                <c:pt idx="5">
                  <c:v>45804</c:v>
                </c:pt>
                <c:pt idx="6">
                  <c:v>45804</c:v>
                </c:pt>
                <c:pt idx="7">
                  <c:v>45811</c:v>
                </c:pt>
                <c:pt idx="8">
                  <c:v>45813</c:v>
                </c:pt>
                <c:pt idx="9">
                  <c:v>45813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</c:numCache>
            </c:numRef>
          </c:cat>
          <c:val>
            <c:numRef>
              <c:f>'Feuille de temps'!$B$2:$N$2</c:f>
              <c:numCache>
                <c:formatCode>0.0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5">
                  <c:v>1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6-438B-8046-3FA84E2B1867}"/>
            </c:ext>
          </c:extLst>
        </c:ser>
        <c:ser>
          <c:idx val="1"/>
          <c:order val="1"/>
          <c:tx>
            <c:strRef>
              <c:f>'Feuille de temps'!$A$3</c:f>
              <c:strCache>
                <c:ptCount val="1"/>
                <c:pt idx="0">
                  <c:v>Thomas</c:v>
                </c:pt>
              </c:strCache>
            </c:strRef>
          </c:tx>
          <c:spPr>
            <a:solidFill>
              <a:srgbClr val="ED7D31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'Feuille de temps'!$B$1:$N$1</c:f>
              <c:numCache>
                <c:formatCode>m/d/yyyy</c:formatCode>
                <c:ptCount val="13"/>
                <c:pt idx="0">
                  <c:v>45782</c:v>
                </c:pt>
                <c:pt idx="1">
                  <c:v>45783</c:v>
                </c:pt>
                <c:pt idx="2">
                  <c:v>45789</c:v>
                </c:pt>
                <c:pt idx="3">
                  <c:v>45790</c:v>
                </c:pt>
                <c:pt idx="4">
                  <c:v>45799</c:v>
                </c:pt>
                <c:pt idx="5">
                  <c:v>45804</c:v>
                </c:pt>
                <c:pt idx="6">
                  <c:v>45804</c:v>
                </c:pt>
                <c:pt idx="7">
                  <c:v>45811</c:v>
                </c:pt>
                <c:pt idx="8">
                  <c:v>45813</c:v>
                </c:pt>
                <c:pt idx="9">
                  <c:v>45813</c:v>
                </c:pt>
                <c:pt idx="10">
                  <c:v>45818</c:v>
                </c:pt>
                <c:pt idx="11">
                  <c:v>45819</c:v>
                </c:pt>
                <c:pt idx="12">
                  <c:v>45820</c:v>
                </c:pt>
              </c:numCache>
            </c:numRef>
          </c:cat>
          <c:val>
            <c:numRef>
              <c:f>'Feuille de temps'!$B$3:$N$3</c:f>
              <c:numCache>
                <c:formatCode>0.0</c:formatCode>
                <c:ptCount val="13"/>
                <c:pt idx="0">
                  <c:v>2</c:v>
                </c:pt>
                <c:pt idx="1">
                  <c:v>2</c:v>
                </c:pt>
                <c:pt idx="2">
                  <c:v>2</c:v>
                </c:pt>
                <c:pt idx="3">
                  <c:v>2</c:v>
                </c:pt>
                <c:pt idx="4">
                  <c:v>2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2</c:v>
                </c:pt>
                <c:pt idx="9">
                  <c:v>2.5</c:v>
                </c:pt>
                <c:pt idx="10">
                  <c:v>3</c:v>
                </c:pt>
                <c:pt idx="11">
                  <c:v>3</c:v>
                </c:pt>
                <c:pt idx="1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76-438B-8046-3FA84E2B1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96834"/>
        <c:axId val="48088748"/>
      </c:barChart>
      <c:dateAx>
        <c:axId val="2896834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lang="fr-FR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fr-FR" sz="1000" b="0" strike="noStrike" spc="-1">
                    <a:solidFill>
                      <a:srgbClr val="595959"/>
                    </a:solidFill>
                    <a:latin typeface="Calibri"/>
                  </a:rPr>
                  <a:t>Sessions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/d/yyyy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fr-FR"/>
          </a:p>
        </c:txPr>
        <c:crossAx val="48088748"/>
        <c:crosses val="autoZero"/>
        <c:auto val="1"/>
        <c:lblOffset val="100"/>
        <c:baseTimeUnit val="days"/>
      </c:dateAx>
      <c:valAx>
        <c:axId val="48088748"/>
        <c:scaling>
          <c:orientation val="minMax"/>
        </c:scaling>
        <c:delete val="0"/>
        <c:axPos val="b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lang="fr-FR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fr-FR" sz="1000" b="0" strike="noStrike" spc="-1">
                    <a:solidFill>
                      <a:srgbClr val="595959"/>
                    </a:solidFill>
                    <a:latin typeface="Calibri"/>
                  </a:rPr>
                  <a:t>Heures de travail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fr-FR"/>
          </a:p>
        </c:txPr>
        <c:crossAx val="289683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lang="fr-FR" sz="1400" b="0" strike="noStrike" spc="-1">
                <a:solidFill>
                  <a:srgbClr val="595959"/>
                </a:solidFill>
                <a:latin typeface="Calibri"/>
              </a:defRPr>
            </a:pPr>
            <a:r>
              <a:rPr lang="fr-FR" sz="1400" b="0" strike="noStrike" spc="-1">
                <a:solidFill>
                  <a:srgbClr val="595959"/>
                </a:solidFill>
                <a:latin typeface="Calibri"/>
              </a:rPr>
              <a:t>Progression cumulative du projet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'Heures cumulées'!$D$1</c:f>
              <c:strCache>
                <c:ptCount val="1"/>
                <c:pt idx="0">
                  <c:v>Chadi cumulé</c:v>
                </c:pt>
              </c:strCache>
            </c:strRef>
          </c:tx>
          <c:spPr>
            <a:ln w="28440" cap="rnd">
              <a:solidFill>
                <a:srgbClr val="5B9BD5"/>
              </a:solidFill>
              <a:round/>
            </a:ln>
          </c:spPr>
          <c:marker>
            <c:symbol val="circle"/>
            <c:size val="5"/>
            <c:spPr>
              <a:solidFill>
                <a:srgbClr val="5B9BD5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'Heures cumulées'!$A$2:$A$23</c:f>
              <c:numCache>
                <c:formatCode>m/d/yyyy</c:formatCode>
                <c:ptCount val="22"/>
                <c:pt idx="0">
                  <c:v>45782</c:v>
                </c:pt>
                <c:pt idx="1">
                  <c:v>45783</c:v>
                </c:pt>
                <c:pt idx="2">
                  <c:v>45789</c:v>
                </c:pt>
                <c:pt idx="3">
                  <c:v>45790</c:v>
                </c:pt>
                <c:pt idx="4">
                  <c:v>45799</c:v>
                </c:pt>
                <c:pt idx="5">
                  <c:v>45804</c:v>
                </c:pt>
                <c:pt idx="6">
                  <c:v>45804</c:v>
                </c:pt>
                <c:pt idx="7">
                  <c:v>45811</c:v>
                </c:pt>
                <c:pt idx="8">
                  <c:v>45813</c:v>
                </c:pt>
                <c:pt idx="9">
                  <c:v>45813</c:v>
                </c:pt>
                <c:pt idx="12">
                  <c:v>45818</c:v>
                </c:pt>
                <c:pt idx="13">
                  <c:v>45819</c:v>
                </c:pt>
                <c:pt idx="15">
                  <c:v>45820</c:v>
                </c:pt>
              </c:numCache>
            </c:numRef>
          </c:cat>
          <c:val>
            <c:numRef>
              <c:f>'Heures cumulées'!$D$2:$D$23</c:f>
              <c:numCache>
                <c:formatCode>General</c:formatCode>
                <c:ptCount val="2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8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9</c:v>
                </c:pt>
                <c:pt idx="11">
                  <c:v>9</c:v>
                </c:pt>
                <c:pt idx="12">
                  <c:v>15</c:v>
                </c:pt>
                <c:pt idx="13">
                  <c:v>15</c:v>
                </c:pt>
                <c:pt idx="14">
                  <c:v>15</c:v>
                </c:pt>
                <c:pt idx="15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6D-44AC-9121-29448D12FE55}"/>
            </c:ext>
          </c:extLst>
        </c:ser>
        <c:ser>
          <c:idx val="1"/>
          <c:order val="1"/>
          <c:tx>
            <c:strRef>
              <c:f>'Heures cumulées'!$E$1</c:f>
              <c:strCache>
                <c:ptCount val="1"/>
                <c:pt idx="0">
                  <c:v>Thomas cumulé</c:v>
                </c:pt>
              </c:strCache>
            </c:strRef>
          </c:tx>
          <c:spPr>
            <a:ln w="28440" cap="rnd">
              <a:solidFill>
                <a:srgbClr val="ED7D31"/>
              </a:solidFill>
              <a:round/>
            </a:ln>
          </c:spPr>
          <c:marker>
            <c:symbol val="circle"/>
            <c:size val="5"/>
            <c:spPr>
              <a:solidFill>
                <a:srgbClr val="ED7D3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'Heures cumulées'!$A$2:$A$23</c:f>
              <c:numCache>
                <c:formatCode>m/d/yyyy</c:formatCode>
                <c:ptCount val="22"/>
                <c:pt idx="0">
                  <c:v>45782</c:v>
                </c:pt>
                <c:pt idx="1">
                  <c:v>45783</c:v>
                </c:pt>
                <c:pt idx="2">
                  <c:v>45789</c:v>
                </c:pt>
                <c:pt idx="3">
                  <c:v>45790</c:v>
                </c:pt>
                <c:pt idx="4">
                  <c:v>45799</c:v>
                </c:pt>
                <c:pt idx="5">
                  <c:v>45804</c:v>
                </c:pt>
                <c:pt idx="6">
                  <c:v>45804</c:v>
                </c:pt>
                <c:pt idx="7">
                  <c:v>45811</c:v>
                </c:pt>
                <c:pt idx="8">
                  <c:v>45813</c:v>
                </c:pt>
                <c:pt idx="9">
                  <c:v>45813</c:v>
                </c:pt>
                <c:pt idx="12">
                  <c:v>45818</c:v>
                </c:pt>
                <c:pt idx="13">
                  <c:v>45819</c:v>
                </c:pt>
                <c:pt idx="15">
                  <c:v>45820</c:v>
                </c:pt>
              </c:numCache>
            </c:numRef>
          </c:cat>
          <c:val>
            <c:numRef>
              <c:f>'Heures cumulées'!$E$2:$E$23</c:f>
              <c:numCache>
                <c:formatCode>General</c:formatCode>
                <c:ptCount val="22"/>
                <c:pt idx="0">
                  <c:v>2</c:v>
                </c:pt>
                <c:pt idx="1">
                  <c:v>4</c:v>
                </c:pt>
                <c:pt idx="2">
                  <c:v>6</c:v>
                </c:pt>
                <c:pt idx="3">
                  <c:v>8</c:v>
                </c:pt>
                <c:pt idx="4">
                  <c:v>10</c:v>
                </c:pt>
                <c:pt idx="5">
                  <c:v>11</c:v>
                </c:pt>
                <c:pt idx="6">
                  <c:v>13</c:v>
                </c:pt>
                <c:pt idx="7">
                  <c:v>16</c:v>
                </c:pt>
                <c:pt idx="8">
                  <c:v>18</c:v>
                </c:pt>
                <c:pt idx="9">
                  <c:v>20.5</c:v>
                </c:pt>
                <c:pt idx="10">
                  <c:v>20.5</c:v>
                </c:pt>
                <c:pt idx="11">
                  <c:v>20.5</c:v>
                </c:pt>
                <c:pt idx="12">
                  <c:v>23.5</c:v>
                </c:pt>
                <c:pt idx="13">
                  <c:v>26.5</c:v>
                </c:pt>
                <c:pt idx="14">
                  <c:v>26.5</c:v>
                </c:pt>
                <c:pt idx="15">
                  <c:v>28.5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6D-44AC-9121-29448D12FE55}"/>
            </c:ext>
          </c:extLst>
        </c:ser>
        <c:ser>
          <c:idx val="2"/>
          <c:order val="2"/>
          <c:tx>
            <c:strRef>
              <c:f>'Heures cumulées'!$F$1</c:f>
              <c:strCache>
                <c:ptCount val="1"/>
                <c:pt idx="0">
                  <c:v>Total cumulé</c:v>
                </c:pt>
              </c:strCache>
            </c:strRef>
          </c:tx>
          <c:spPr>
            <a:ln w="38160" cap="rnd">
              <a:solidFill>
                <a:srgbClr val="000000"/>
              </a:solidFill>
              <a:round/>
            </a:ln>
          </c:spPr>
          <c:marker>
            <c:symbol val="circle"/>
            <c:size val="5"/>
            <c:spPr>
              <a:solidFill>
                <a:srgbClr val="000000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fr-FR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'Heures cumulées'!$A$2:$A$23</c:f>
              <c:numCache>
                <c:formatCode>m/d/yyyy</c:formatCode>
                <c:ptCount val="22"/>
                <c:pt idx="0">
                  <c:v>45782</c:v>
                </c:pt>
                <c:pt idx="1">
                  <c:v>45783</c:v>
                </c:pt>
                <c:pt idx="2">
                  <c:v>45789</c:v>
                </c:pt>
                <c:pt idx="3">
                  <c:v>45790</c:v>
                </c:pt>
                <c:pt idx="4">
                  <c:v>45799</c:v>
                </c:pt>
                <c:pt idx="5">
                  <c:v>45804</c:v>
                </c:pt>
                <c:pt idx="6">
                  <c:v>45804</c:v>
                </c:pt>
                <c:pt idx="7">
                  <c:v>45811</c:v>
                </c:pt>
                <c:pt idx="8">
                  <c:v>45813</c:v>
                </c:pt>
                <c:pt idx="9">
                  <c:v>45813</c:v>
                </c:pt>
                <c:pt idx="12">
                  <c:v>45818</c:v>
                </c:pt>
                <c:pt idx="13">
                  <c:v>45819</c:v>
                </c:pt>
                <c:pt idx="15">
                  <c:v>45820</c:v>
                </c:pt>
              </c:numCache>
            </c:numRef>
          </c:cat>
          <c:val>
            <c:numRef>
              <c:f>'Heures cumulées'!$F$2:$F$23</c:f>
              <c:numCache>
                <c:formatCode>General</c:formatCode>
                <c:ptCount val="22"/>
                <c:pt idx="0">
                  <c:v>4</c:v>
                </c:pt>
                <c:pt idx="1">
                  <c:v>8</c:v>
                </c:pt>
                <c:pt idx="2">
                  <c:v>12</c:v>
                </c:pt>
                <c:pt idx="3">
                  <c:v>16</c:v>
                </c:pt>
                <c:pt idx="4">
                  <c:v>18</c:v>
                </c:pt>
                <c:pt idx="5">
                  <c:v>20</c:v>
                </c:pt>
                <c:pt idx="6">
                  <c:v>22</c:v>
                </c:pt>
                <c:pt idx="7">
                  <c:v>25</c:v>
                </c:pt>
                <c:pt idx="8">
                  <c:v>27</c:v>
                </c:pt>
                <c:pt idx="9">
                  <c:v>29.5</c:v>
                </c:pt>
                <c:pt idx="10">
                  <c:v>29.5</c:v>
                </c:pt>
                <c:pt idx="11">
                  <c:v>29.5</c:v>
                </c:pt>
                <c:pt idx="12">
                  <c:v>38.5</c:v>
                </c:pt>
                <c:pt idx="13">
                  <c:v>41.5</c:v>
                </c:pt>
                <c:pt idx="14">
                  <c:v>41.5</c:v>
                </c:pt>
                <c:pt idx="15">
                  <c:v>43.5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66D-44AC-9121-29448D12FE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7318348"/>
        <c:axId val="88727794"/>
      </c:lineChart>
      <c:dateAx>
        <c:axId val="9731834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lang="fr-FR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fr-FR" sz="1000" b="0" strike="noStrike" spc="-1">
                    <a:solidFill>
                      <a:srgbClr val="595959"/>
                    </a:solidFill>
                    <a:latin typeface="Calibri"/>
                  </a:rPr>
                  <a:t>Timeline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/d/yyyy" sourceLinked="0"/>
        <c:majorTickMark val="out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fr-FR"/>
          </a:p>
        </c:txPr>
        <c:crossAx val="88727794"/>
        <c:crosses val="autoZero"/>
        <c:auto val="1"/>
        <c:lblOffset val="100"/>
        <c:baseTimeUnit val="days"/>
      </c:dateAx>
      <c:valAx>
        <c:axId val="88727794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lang="fr-FR" sz="1000" b="0" strike="noStrike" spc="-1">
                    <a:solidFill>
                      <a:srgbClr val="595959"/>
                    </a:solidFill>
                    <a:latin typeface="Calibri"/>
                  </a:defRPr>
                </a:pPr>
                <a:r>
                  <a:rPr lang="fr-FR" sz="1000" b="0" strike="noStrike" spc="-1">
                    <a:solidFill>
                      <a:srgbClr val="595959"/>
                    </a:solidFill>
                    <a:latin typeface="Calibri"/>
                  </a:rPr>
                  <a:t>Heures cumulées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6480">
            <a:noFill/>
          </a:ln>
        </c:spPr>
        <c:txPr>
          <a:bodyPr/>
          <a:lstStyle/>
          <a:p>
            <a:pPr>
              <a:defRPr sz="900" b="0" strike="noStrike" spc="-1">
                <a:solidFill>
                  <a:srgbClr val="595959"/>
                </a:solidFill>
                <a:latin typeface="Calibri"/>
              </a:defRPr>
            </a:pPr>
            <a:endParaRPr lang="fr-FR"/>
          </a:p>
        </c:txPr>
        <c:crossAx val="9731834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595959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160200</xdr:colOff>
      <xdr:row>13</xdr:row>
      <xdr:rowOff>53280</xdr:rowOff>
    </xdr:from>
    <xdr:to>
      <xdr:col>5</xdr:col>
      <xdr:colOff>666570</xdr:colOff>
      <xdr:row>26</xdr:row>
      <xdr:rowOff>134805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419040</xdr:colOff>
      <xdr:row>13</xdr:row>
      <xdr:rowOff>11520</xdr:rowOff>
    </xdr:from>
    <xdr:to>
      <xdr:col>14</xdr:col>
      <xdr:colOff>104475</xdr:colOff>
      <xdr:row>28</xdr:row>
      <xdr:rowOff>20685</xdr:rowOff>
    </xdr:to>
    <xdr:graphicFrame macro="">
      <xdr:nvGraphicFramePr>
        <xdr:cNvPr id="3" name="Graphiqu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219195</xdr:colOff>
      <xdr:row>6</xdr:row>
      <xdr:rowOff>148680</xdr:rowOff>
    </xdr:from>
    <xdr:to>
      <xdr:col>13</xdr:col>
      <xdr:colOff>37860</xdr:colOff>
      <xdr:row>21</xdr:row>
      <xdr:rowOff>142605</xdr:rowOff>
    </xdr:to>
    <xdr:graphicFrame macro="">
      <xdr:nvGraphicFramePr>
        <xdr:cNvPr id="2" name="Graphiqu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zoomScaleNormal="100" workbookViewId="0">
      <selection activeCell="O3" sqref="O3"/>
    </sheetView>
  </sheetViews>
  <sheetFormatPr baseColWidth="10" defaultColWidth="8.88671875" defaultRowHeight="14.4" x14ac:dyDescent="0.3"/>
  <cols>
    <col min="2" max="2" width="11.44140625" customWidth="1"/>
    <col min="3" max="10" width="10.5546875" customWidth="1"/>
    <col min="11" max="11" width="10.77734375" customWidth="1"/>
    <col min="12" max="12" width="10.5546875" bestFit="1" customWidth="1"/>
    <col min="13" max="13" width="11.109375" customWidth="1"/>
    <col min="14" max="14" width="11" customWidth="1"/>
  </cols>
  <sheetData>
    <row r="1" spans="1:15" x14ac:dyDescent="0.3">
      <c r="A1" s="1"/>
      <c r="B1" s="6">
        <v>45782</v>
      </c>
      <c r="C1" s="6">
        <v>45783</v>
      </c>
      <c r="D1" s="6">
        <v>45789</v>
      </c>
      <c r="E1" s="6">
        <v>45790</v>
      </c>
      <c r="F1" s="7">
        <v>45799</v>
      </c>
      <c r="G1" s="6">
        <v>45804</v>
      </c>
      <c r="H1" s="7">
        <v>45804</v>
      </c>
      <c r="I1" s="7">
        <v>45811</v>
      </c>
      <c r="J1" s="6">
        <v>45813</v>
      </c>
      <c r="K1" s="7">
        <v>45813</v>
      </c>
      <c r="L1" s="7">
        <v>45818</v>
      </c>
      <c r="M1" s="7">
        <v>45819</v>
      </c>
      <c r="N1" s="7">
        <v>45820</v>
      </c>
      <c r="O1" s="1" t="s">
        <v>0</v>
      </c>
    </row>
    <row r="2" spans="1:15" x14ac:dyDescent="0.3">
      <c r="A2" s="1" t="s">
        <v>1</v>
      </c>
      <c r="B2" s="2">
        <v>2</v>
      </c>
      <c r="C2" s="2">
        <v>2</v>
      </c>
      <c r="D2" s="2">
        <v>2</v>
      </c>
      <c r="E2" s="2">
        <v>2</v>
      </c>
      <c r="F2" s="2"/>
      <c r="G2" s="2">
        <v>1</v>
      </c>
      <c r="H2" s="2"/>
      <c r="I2" s="2"/>
      <c r="J2" s="2"/>
      <c r="K2" s="2"/>
      <c r="L2" s="2">
        <v>6</v>
      </c>
      <c r="M2" s="2"/>
      <c r="N2" s="2"/>
      <c r="O2" s="2">
        <f>SUM(B2:N2)</f>
        <v>15</v>
      </c>
    </row>
    <row r="3" spans="1:15" x14ac:dyDescent="0.3">
      <c r="A3" s="1" t="s">
        <v>2</v>
      </c>
      <c r="B3" s="2">
        <v>2</v>
      </c>
      <c r="C3" s="2">
        <v>2</v>
      </c>
      <c r="D3" s="2">
        <v>2</v>
      </c>
      <c r="E3" s="2">
        <v>2</v>
      </c>
      <c r="F3" s="2">
        <v>2</v>
      </c>
      <c r="G3" s="2">
        <v>1</v>
      </c>
      <c r="H3" s="2">
        <v>2</v>
      </c>
      <c r="I3" s="2">
        <v>3</v>
      </c>
      <c r="J3" s="2">
        <v>2</v>
      </c>
      <c r="K3" s="2">
        <v>2.5</v>
      </c>
      <c r="L3" s="2">
        <v>3</v>
      </c>
      <c r="M3" s="2">
        <v>3</v>
      </c>
      <c r="N3" s="2">
        <v>2</v>
      </c>
      <c r="O3" s="2">
        <f>SUM(B3:N3)</f>
        <v>28.5</v>
      </c>
    </row>
    <row r="4" spans="1:15" x14ac:dyDescent="0.3">
      <c r="A4" s="1" t="s">
        <v>0</v>
      </c>
      <c r="B4" s="2">
        <f t="shared" ref="B4:N4" si="0">SUM(B2:B3)</f>
        <v>4</v>
      </c>
      <c r="C4" s="2">
        <f t="shared" si="0"/>
        <v>4</v>
      </c>
      <c r="D4" s="2">
        <f t="shared" si="0"/>
        <v>4</v>
      </c>
      <c r="E4" s="2">
        <f t="shared" si="0"/>
        <v>4</v>
      </c>
      <c r="F4" s="2">
        <f t="shared" si="0"/>
        <v>2</v>
      </c>
      <c r="G4" s="2">
        <f t="shared" si="0"/>
        <v>2</v>
      </c>
      <c r="H4" s="2">
        <f t="shared" si="0"/>
        <v>2</v>
      </c>
      <c r="I4" s="2">
        <f t="shared" si="0"/>
        <v>3</v>
      </c>
      <c r="J4" s="2">
        <f t="shared" si="0"/>
        <v>2</v>
      </c>
      <c r="K4" s="2">
        <f t="shared" si="0"/>
        <v>2.5</v>
      </c>
      <c r="L4" s="2">
        <f t="shared" si="0"/>
        <v>9</v>
      </c>
      <c r="M4" s="2">
        <f>SUM(M2:M3)</f>
        <v>3</v>
      </c>
      <c r="N4" s="2">
        <f t="shared" si="0"/>
        <v>2</v>
      </c>
      <c r="O4" s="2">
        <f>SUM(B4:N4)</f>
        <v>43.5</v>
      </c>
    </row>
    <row r="10" spans="1:15" x14ac:dyDescent="0.3">
      <c r="B10" s="3" t="s">
        <v>3</v>
      </c>
    </row>
    <row r="11" spans="1:15" ht="28.8" x14ac:dyDescent="0.3">
      <c r="B11" s="4" t="s">
        <v>4</v>
      </c>
    </row>
  </sheetData>
  <pageMargins left="0.7" right="0.7" top="0.75" bottom="0.75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3"/>
  <sheetViews>
    <sheetView tabSelected="1" zoomScaleNormal="100" workbookViewId="0">
      <selection activeCell="B18" sqref="B18"/>
    </sheetView>
  </sheetViews>
  <sheetFormatPr baseColWidth="10" defaultColWidth="10.44140625" defaultRowHeight="14.4" x14ac:dyDescent="0.3"/>
  <sheetData>
    <row r="1" spans="1:6" x14ac:dyDescent="0.3">
      <c r="A1" t="s">
        <v>5</v>
      </c>
      <c r="B1" t="s">
        <v>1</v>
      </c>
      <c r="C1" t="s">
        <v>2</v>
      </c>
      <c r="D1" t="s">
        <v>6</v>
      </c>
      <c r="E1" t="s">
        <v>7</v>
      </c>
      <c r="F1" t="s">
        <v>8</v>
      </c>
    </row>
    <row r="2" spans="1:6" x14ac:dyDescent="0.3">
      <c r="A2" s="5">
        <v>45782</v>
      </c>
      <c r="B2">
        <v>2</v>
      </c>
      <c r="C2">
        <v>2</v>
      </c>
      <c r="D2">
        <v>2</v>
      </c>
      <c r="E2">
        <v>2</v>
      </c>
      <c r="F2">
        <f t="shared" ref="F2:F17" si="0">D2+E2</f>
        <v>4</v>
      </c>
    </row>
    <row r="3" spans="1:6" x14ac:dyDescent="0.3">
      <c r="A3" s="5">
        <v>45783</v>
      </c>
      <c r="B3">
        <v>2</v>
      </c>
      <c r="C3">
        <v>2</v>
      </c>
      <c r="D3">
        <f t="shared" ref="D3:D17" si="1">D2+B3</f>
        <v>4</v>
      </c>
      <c r="E3">
        <f t="shared" ref="E3:E17" si="2">E2+C3</f>
        <v>4</v>
      </c>
      <c r="F3">
        <f t="shared" si="0"/>
        <v>8</v>
      </c>
    </row>
    <row r="4" spans="1:6" x14ac:dyDescent="0.3">
      <c r="A4" s="5">
        <v>45789</v>
      </c>
      <c r="B4">
        <v>2</v>
      </c>
      <c r="C4">
        <v>2</v>
      </c>
      <c r="D4">
        <f t="shared" si="1"/>
        <v>6</v>
      </c>
      <c r="E4">
        <f t="shared" si="2"/>
        <v>6</v>
      </c>
      <c r="F4">
        <f t="shared" si="0"/>
        <v>12</v>
      </c>
    </row>
    <row r="5" spans="1:6" x14ac:dyDescent="0.3">
      <c r="A5" s="5">
        <v>45790</v>
      </c>
      <c r="B5">
        <v>2</v>
      </c>
      <c r="C5">
        <v>2</v>
      </c>
      <c r="D5">
        <f t="shared" si="1"/>
        <v>8</v>
      </c>
      <c r="E5">
        <f t="shared" si="2"/>
        <v>8</v>
      </c>
      <c r="F5">
        <f t="shared" si="0"/>
        <v>16</v>
      </c>
    </row>
    <row r="6" spans="1:6" x14ac:dyDescent="0.3">
      <c r="A6" s="5">
        <v>45799</v>
      </c>
      <c r="B6">
        <v>0</v>
      </c>
      <c r="C6">
        <v>2</v>
      </c>
      <c r="D6">
        <f t="shared" si="1"/>
        <v>8</v>
      </c>
      <c r="E6">
        <f t="shared" si="2"/>
        <v>10</v>
      </c>
      <c r="F6">
        <f t="shared" si="0"/>
        <v>18</v>
      </c>
    </row>
    <row r="7" spans="1:6" x14ac:dyDescent="0.3">
      <c r="A7" s="5">
        <v>45804</v>
      </c>
      <c r="B7">
        <v>1</v>
      </c>
      <c r="C7">
        <v>1</v>
      </c>
      <c r="D7">
        <f t="shared" si="1"/>
        <v>9</v>
      </c>
      <c r="E7">
        <f t="shared" si="2"/>
        <v>11</v>
      </c>
      <c r="F7">
        <f t="shared" si="0"/>
        <v>20</v>
      </c>
    </row>
    <row r="8" spans="1:6" x14ac:dyDescent="0.3">
      <c r="A8" s="5">
        <v>45804</v>
      </c>
      <c r="B8">
        <v>0</v>
      </c>
      <c r="C8">
        <v>2</v>
      </c>
      <c r="D8">
        <f t="shared" si="1"/>
        <v>9</v>
      </c>
      <c r="E8">
        <f t="shared" si="2"/>
        <v>13</v>
      </c>
      <c r="F8">
        <f t="shared" si="0"/>
        <v>22</v>
      </c>
    </row>
    <row r="9" spans="1:6" x14ac:dyDescent="0.3">
      <c r="A9" s="5">
        <v>45811</v>
      </c>
      <c r="B9">
        <v>0</v>
      </c>
      <c r="C9">
        <v>3</v>
      </c>
      <c r="D9">
        <f t="shared" si="1"/>
        <v>9</v>
      </c>
      <c r="E9">
        <f t="shared" si="2"/>
        <v>16</v>
      </c>
      <c r="F9">
        <f t="shared" si="0"/>
        <v>25</v>
      </c>
    </row>
    <row r="10" spans="1:6" x14ac:dyDescent="0.3">
      <c r="A10" s="5">
        <v>45813</v>
      </c>
      <c r="C10">
        <v>2</v>
      </c>
      <c r="D10">
        <f t="shared" si="1"/>
        <v>9</v>
      </c>
      <c r="E10">
        <f t="shared" si="2"/>
        <v>18</v>
      </c>
      <c r="F10">
        <f t="shared" si="0"/>
        <v>27</v>
      </c>
    </row>
    <row r="11" spans="1:6" x14ac:dyDescent="0.3">
      <c r="A11" s="5">
        <v>45813</v>
      </c>
      <c r="C11">
        <v>2.5</v>
      </c>
      <c r="D11">
        <f t="shared" si="1"/>
        <v>9</v>
      </c>
      <c r="E11">
        <f t="shared" si="2"/>
        <v>20.5</v>
      </c>
      <c r="F11">
        <f t="shared" si="0"/>
        <v>29.5</v>
      </c>
    </row>
    <row r="12" spans="1:6" x14ac:dyDescent="0.3">
      <c r="A12" s="5"/>
      <c r="D12">
        <f t="shared" si="1"/>
        <v>9</v>
      </c>
      <c r="E12">
        <f t="shared" si="2"/>
        <v>20.5</v>
      </c>
      <c r="F12">
        <f t="shared" si="0"/>
        <v>29.5</v>
      </c>
    </row>
    <row r="13" spans="1:6" x14ac:dyDescent="0.3">
      <c r="A13" s="5"/>
      <c r="D13">
        <f t="shared" si="1"/>
        <v>9</v>
      </c>
      <c r="E13">
        <f t="shared" si="2"/>
        <v>20.5</v>
      </c>
      <c r="F13">
        <f t="shared" si="0"/>
        <v>29.5</v>
      </c>
    </row>
    <row r="14" spans="1:6" x14ac:dyDescent="0.3">
      <c r="A14" s="5">
        <v>45818</v>
      </c>
      <c r="B14">
        <v>6</v>
      </c>
      <c r="C14">
        <v>3</v>
      </c>
      <c r="D14">
        <f t="shared" si="1"/>
        <v>15</v>
      </c>
      <c r="E14">
        <f t="shared" si="2"/>
        <v>23.5</v>
      </c>
      <c r="F14">
        <f t="shared" si="0"/>
        <v>38.5</v>
      </c>
    </row>
    <row r="15" spans="1:6" x14ac:dyDescent="0.3">
      <c r="A15" s="5">
        <v>45819</v>
      </c>
      <c r="C15">
        <v>3</v>
      </c>
      <c r="D15">
        <f t="shared" si="1"/>
        <v>15</v>
      </c>
      <c r="E15">
        <f t="shared" si="2"/>
        <v>26.5</v>
      </c>
      <c r="F15">
        <f t="shared" si="0"/>
        <v>41.5</v>
      </c>
    </row>
    <row r="16" spans="1:6" x14ac:dyDescent="0.3">
      <c r="A16" s="5"/>
      <c r="D16">
        <f t="shared" si="1"/>
        <v>15</v>
      </c>
      <c r="E16">
        <f t="shared" si="2"/>
        <v>26.5</v>
      </c>
      <c r="F16">
        <f t="shared" si="0"/>
        <v>41.5</v>
      </c>
    </row>
    <row r="17" spans="1:6" x14ac:dyDescent="0.3">
      <c r="A17" s="5">
        <v>45820</v>
      </c>
      <c r="C17">
        <v>2</v>
      </c>
      <c r="D17">
        <f t="shared" si="1"/>
        <v>15</v>
      </c>
      <c r="E17">
        <f t="shared" si="2"/>
        <v>28.5</v>
      </c>
      <c r="F17">
        <f t="shared" si="0"/>
        <v>43.5</v>
      </c>
    </row>
    <row r="18" spans="1:6" x14ac:dyDescent="0.3">
      <c r="A18" s="5"/>
    </row>
    <row r="19" spans="1:6" x14ac:dyDescent="0.3">
      <c r="A19" s="5"/>
    </row>
    <row r="20" spans="1:6" x14ac:dyDescent="0.3">
      <c r="A20" s="5"/>
    </row>
    <row r="21" spans="1:6" x14ac:dyDescent="0.3">
      <c r="A21" s="5"/>
    </row>
    <row r="22" spans="1:6" x14ac:dyDescent="0.3">
      <c r="A22" s="5"/>
    </row>
    <row r="23" spans="1:6" x14ac:dyDescent="0.3">
      <c r="A23" s="5"/>
    </row>
  </sheetData>
  <pageMargins left="0.7" right="0.7" top="0.75" bottom="0.75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Feuille de temps</vt:lpstr>
      <vt:lpstr>Heures cumulées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Thomas Poissonnier</dc:creator>
  <dc:description/>
  <cp:lastModifiedBy>POISSONNIER Thomas</cp:lastModifiedBy>
  <cp:revision>1</cp:revision>
  <dcterms:created xsi:type="dcterms:W3CDTF">2015-06-05T18:17:20Z</dcterms:created>
  <dcterms:modified xsi:type="dcterms:W3CDTF">2025-06-12T08:08:41Z</dcterms:modified>
  <dc:language>fr-FR</dc:language>
</cp:coreProperties>
</file>